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rlaaouj\Desktop\ADD\Open Data\Donnée_à_publier\ABH_Tensift\"/>
    </mc:Choice>
  </mc:AlternateContent>
  <xr:revisionPtr revIDLastSave="0" documentId="13_ncr:1_{4F6770EF-80CF-4C5E-B766-4826F273758E}" xr6:coauthVersionLast="47" xr6:coauthVersionMax="47" xr10:uidLastSave="{00000000-0000-0000-0000-000000000000}"/>
  <bookViews>
    <workbookView xWindow="28680" yWindow="-120" windowWidth="29040" windowHeight="15720" xr2:uid="{527F6845-8298-4DD7-B16C-36CA8BB3C087}"/>
  </bookViews>
  <sheets>
    <sheet name="Août_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34" i="1" l="1"/>
  <c r="I34" i="1"/>
  <c r="G34" i="1"/>
  <c r="E34" i="1"/>
  <c r="C34" i="1"/>
  <c r="K33" i="1"/>
  <c r="I33" i="1"/>
  <c r="G33" i="1"/>
  <c r="E33" i="1"/>
  <c r="C33" i="1"/>
  <c r="K32" i="1"/>
  <c r="I32" i="1"/>
  <c r="G32" i="1"/>
  <c r="E32" i="1"/>
  <c r="C32" i="1"/>
  <c r="A32" i="1"/>
  <c r="K31" i="1"/>
  <c r="I31" i="1"/>
  <c r="G31" i="1"/>
  <c r="E31" i="1"/>
  <c r="C31" i="1"/>
  <c r="K30" i="1"/>
  <c r="I30" i="1"/>
  <c r="G30" i="1"/>
  <c r="E30" i="1"/>
  <c r="C30" i="1"/>
  <c r="K29" i="1"/>
  <c r="I29" i="1"/>
  <c r="G29" i="1"/>
  <c r="E29" i="1"/>
  <c r="C29" i="1"/>
  <c r="K28" i="1"/>
  <c r="I28" i="1"/>
  <c r="G28" i="1"/>
  <c r="E28" i="1"/>
  <c r="C28" i="1"/>
  <c r="K27" i="1"/>
  <c r="I27" i="1"/>
  <c r="G27" i="1"/>
  <c r="E27" i="1"/>
  <c r="C27" i="1"/>
  <c r="K26" i="1"/>
  <c r="I26" i="1"/>
  <c r="G26" i="1"/>
  <c r="E26" i="1"/>
  <c r="C26" i="1"/>
  <c r="K25" i="1"/>
  <c r="I25" i="1"/>
  <c r="G25" i="1"/>
  <c r="E25" i="1"/>
  <c r="C25" i="1"/>
  <c r="K24" i="1"/>
  <c r="I24" i="1"/>
  <c r="G24" i="1"/>
  <c r="E24" i="1"/>
  <c r="C24" i="1"/>
  <c r="K23" i="1"/>
  <c r="I23" i="1"/>
  <c r="G23" i="1"/>
  <c r="E23" i="1"/>
  <c r="C23" i="1"/>
  <c r="K22" i="1"/>
  <c r="I22" i="1"/>
  <c r="G22" i="1"/>
  <c r="E22" i="1"/>
  <c r="C22" i="1"/>
  <c r="K21" i="1"/>
  <c r="I21" i="1"/>
  <c r="G21" i="1"/>
  <c r="E21" i="1"/>
  <c r="C21" i="1"/>
  <c r="K20" i="1"/>
  <c r="I20" i="1"/>
  <c r="G20" i="1"/>
  <c r="E20" i="1"/>
  <c r="C20" i="1"/>
  <c r="K19" i="1"/>
  <c r="I19" i="1"/>
  <c r="G19" i="1"/>
  <c r="E19" i="1"/>
  <c r="C19" i="1"/>
  <c r="K18" i="1"/>
  <c r="I18" i="1"/>
  <c r="G18" i="1"/>
  <c r="E18" i="1"/>
  <c r="C18" i="1"/>
  <c r="K17" i="1"/>
  <c r="I17" i="1"/>
  <c r="G17" i="1"/>
  <c r="E17" i="1"/>
  <c r="C17" i="1"/>
  <c r="K16" i="1"/>
  <c r="I16" i="1"/>
  <c r="G16" i="1"/>
  <c r="E16" i="1"/>
  <c r="C16" i="1"/>
  <c r="K15" i="1"/>
  <c r="I15" i="1"/>
  <c r="G15" i="1"/>
  <c r="E15" i="1"/>
  <c r="C15" i="1"/>
  <c r="K14" i="1"/>
  <c r="I14" i="1"/>
  <c r="G14" i="1"/>
  <c r="E14" i="1"/>
  <c r="C14" i="1"/>
  <c r="K13" i="1"/>
  <c r="I13" i="1"/>
  <c r="G13" i="1"/>
  <c r="E13" i="1"/>
  <c r="C13" i="1"/>
  <c r="K12" i="1"/>
  <c r="I12" i="1"/>
  <c r="G12" i="1"/>
  <c r="E12" i="1"/>
  <c r="C12" i="1"/>
  <c r="K11" i="1"/>
  <c r="I11" i="1"/>
  <c r="G11" i="1"/>
  <c r="E11" i="1"/>
  <c r="C11" i="1"/>
  <c r="K10" i="1"/>
  <c r="I10" i="1"/>
  <c r="G10" i="1"/>
  <c r="E10" i="1"/>
  <c r="C10" i="1"/>
  <c r="K9" i="1"/>
  <c r="I9" i="1"/>
  <c r="G9" i="1"/>
  <c r="E9" i="1"/>
  <c r="C9" i="1"/>
  <c r="K8" i="1"/>
  <c r="I8" i="1"/>
  <c r="G8" i="1"/>
  <c r="E8" i="1"/>
  <c r="C8" i="1"/>
  <c r="K7" i="1"/>
  <c r="I7" i="1"/>
  <c r="G7" i="1"/>
  <c r="E7" i="1"/>
  <c r="C7" i="1"/>
  <c r="K6" i="1"/>
  <c r="I6" i="1"/>
  <c r="G6" i="1"/>
  <c r="E6" i="1"/>
  <c r="C6" i="1"/>
  <c r="A6" i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K5" i="1"/>
  <c r="I5" i="1"/>
  <c r="G5" i="1"/>
  <c r="E5" i="1"/>
  <c r="C5" i="1"/>
  <c r="K4" i="1"/>
  <c r="I4" i="1"/>
  <c r="G4" i="1"/>
  <c r="E4" i="1"/>
  <c r="C4" i="1"/>
</calcChain>
</file>

<file path=xl/sharedStrings.xml><?xml version="1.0" encoding="utf-8"?>
<sst xmlns="http://schemas.openxmlformats.org/spreadsheetml/2006/main" count="23" uniqueCount="10">
  <si>
    <t xml:space="preserve"> Yacoub El Mansour</t>
  </si>
  <si>
    <t>Lalla Takerkoust</t>
  </si>
  <si>
    <t>Sd Mohamed Ben Slimane El Jazouli</t>
  </si>
  <si>
    <t>Abou El Abess Sebti</t>
  </si>
  <si>
    <t>Bge My abdrhmane</t>
  </si>
  <si>
    <t>CAPACITÉ NORMALE
(Mm³)</t>
  </si>
  <si>
    <t>JOUR</t>
  </si>
  <si>
    <t>RESERVE (Mm3)</t>
  </si>
  <si>
    <t>TAUX DE REMPLISSAGE
 ( % )</t>
  </si>
  <si>
    <t>Bassin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</si>
</sst>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b/>
      <sz val="9"/>
      <color theme="3"/>
      <name val="Calibri"/>
      <family val="2"/>
    </font>
    <font>
      <sz val="9"/>
      <color theme="1"/>
      <name val="Calibri"/>
      <family val="2"/>
    </font>
    <font>
      <sz val="8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2" fontId="3" fillId="0" borderId="2" xfId="0" applyNumberFormat="1" applyFont="1" applyBorder="1" applyAlignment="1">
      <alignment horizontal="center" vertical="center"/>
    </xf>
    <xf numFmtId="2" fontId="3" fillId="0" borderId="3" xfId="0" applyNumberFormat="1" applyFont="1" applyBorder="1" applyAlignment="1">
      <alignment horizontal="center" vertical="center"/>
    </xf>
    <xf numFmtId="0" fontId="3" fillId="0" borderId="4" xfId="0" applyFont="1" applyBorder="1" applyAlignment="1">
      <alignment horizontal="center"/>
    </xf>
    <xf numFmtId="2" fontId="3" fillId="0" borderId="4" xfId="0" applyNumberFormat="1" applyFont="1" applyBorder="1" applyAlignment="1">
      <alignment horizontal="center" vertical="center"/>
    </xf>
    <xf numFmtId="2" fontId="3" fillId="0" borderId="4" xfId="0" applyNumberFormat="1" applyFont="1" applyBorder="1" applyAlignment="1">
      <alignment horizontal="center"/>
    </xf>
    <xf numFmtId="2" fontId="3" fillId="0" borderId="5" xfId="0" applyNumberFormat="1" applyFont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/>
    </xf>
    <xf numFmtId="0" fontId="3" fillId="4" borderId="8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 vertical="center" wrapText="1"/>
    </xf>
    <xf numFmtId="0" fontId="2" fillId="4" borderId="11" xfId="0" applyFont="1" applyFill="1" applyBorder="1" applyAlignment="1">
      <alignment horizontal="center" vertical="center" wrapText="1"/>
    </xf>
    <xf numFmtId="2" fontId="2" fillId="4" borderId="12" xfId="0" applyNumberFormat="1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2" fontId="2" fillId="4" borderId="13" xfId="0" applyNumberFormat="1" applyFont="1" applyFill="1" applyBorder="1" applyAlignment="1">
      <alignment horizontal="center" vertical="center" wrapText="1"/>
    </xf>
    <xf numFmtId="0" fontId="0" fillId="0" borderId="0" xfId="0" applyAlignment="1">
      <alignment textRotation="255"/>
    </xf>
    <xf numFmtId="0" fontId="1" fillId="2" borderId="1" xfId="0" applyFont="1" applyFill="1" applyBorder="1" applyAlignment="1">
      <alignment vertical="center"/>
    </xf>
    <xf numFmtId="0" fontId="1" fillId="2" borderId="14" xfId="0" applyFont="1" applyFill="1" applyBorder="1" applyAlignment="1">
      <alignment vertical="center"/>
    </xf>
    <xf numFmtId="2" fontId="1" fillId="3" borderId="1" xfId="0" applyNumberFormat="1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B7DC51-C903-4CAA-8EDC-B566C5083442}">
  <sheetPr>
    <tabColor theme="4" tint="0.59999389629810485"/>
  </sheetPr>
  <dimension ref="A1:K34"/>
  <sheetViews>
    <sheetView tabSelected="1" topLeftCell="A2" workbookViewId="0">
      <selection activeCell="M3" sqref="M3"/>
    </sheetView>
  </sheetViews>
  <sheetFormatPr baseColWidth="10" defaultColWidth="11.453125" defaultRowHeight="14.5" x14ac:dyDescent="0.35"/>
  <cols>
    <col min="1" max="1" width="9" style="10" customWidth="1"/>
    <col min="2" max="2" width="13.6328125" style="10" customWidth="1"/>
    <col min="3" max="3" width="14.36328125" style="10" bestFit="1" customWidth="1"/>
    <col min="4" max="4" width="12" style="10" bestFit="1" customWidth="1"/>
    <col min="5" max="5" width="16.08984375" style="10" customWidth="1"/>
    <col min="6" max="7" width="25.6328125" style="10" bestFit="1" customWidth="1"/>
    <col min="8" max="9" width="14.26953125" style="10" bestFit="1" customWidth="1"/>
    <col min="10" max="11" width="14.36328125" style="10" bestFit="1" customWidth="1"/>
  </cols>
  <sheetData>
    <row r="1" spans="1:11" s="20" customFormat="1" ht="33.75" customHeight="1" thickBot="1" x14ac:dyDescent="0.4">
      <c r="A1" s="21" t="s">
        <v>9</v>
      </c>
      <c r="B1" s="21" t="s">
        <v>0</v>
      </c>
      <c r="C1" s="21" t="s">
        <v>0</v>
      </c>
      <c r="D1" s="21" t="s">
        <v>1</v>
      </c>
      <c r="E1" s="21" t="s">
        <v>1</v>
      </c>
      <c r="F1" s="21" t="s">
        <v>2</v>
      </c>
      <c r="G1" s="21" t="s">
        <v>2</v>
      </c>
      <c r="H1" s="21" t="s">
        <v>3</v>
      </c>
      <c r="I1" s="21" t="s">
        <v>3</v>
      </c>
      <c r="J1" s="21" t="s">
        <v>4</v>
      </c>
      <c r="K1" s="22" t="s">
        <v>4</v>
      </c>
    </row>
    <row r="2" spans="1:11" ht="37.5" customHeight="1" thickBot="1" x14ac:dyDescent="0.4">
      <c r="A2" s="1" t="s">
        <v>5</v>
      </c>
      <c r="B2" s="23">
        <v>57.45</v>
      </c>
      <c r="C2" s="23">
        <v>57.45</v>
      </c>
      <c r="D2" s="23">
        <v>50.82</v>
      </c>
      <c r="E2" s="23">
        <v>50.82</v>
      </c>
      <c r="F2" s="23">
        <v>12.31</v>
      </c>
      <c r="G2" s="23">
        <v>12.31</v>
      </c>
      <c r="H2" s="23">
        <v>22.37</v>
      </c>
      <c r="I2" s="23">
        <v>22.37</v>
      </c>
      <c r="J2" s="23">
        <v>58.99</v>
      </c>
      <c r="K2" s="23">
        <v>58.99</v>
      </c>
    </row>
    <row r="3" spans="1:11" ht="36" customHeight="1" x14ac:dyDescent="0.35">
      <c r="A3" s="15" t="s">
        <v>6</v>
      </c>
      <c r="B3" s="16" t="s">
        <v>7</v>
      </c>
      <c r="C3" s="17" t="s">
        <v>8</v>
      </c>
      <c r="D3" s="18" t="s">
        <v>7</v>
      </c>
      <c r="E3" s="17" t="s">
        <v>8</v>
      </c>
      <c r="F3" s="18" t="s">
        <v>7</v>
      </c>
      <c r="G3" s="17" t="s">
        <v>8</v>
      </c>
      <c r="H3" s="18" t="s">
        <v>7</v>
      </c>
      <c r="I3" s="17" t="s">
        <v>8</v>
      </c>
      <c r="J3" s="18" t="s">
        <v>7</v>
      </c>
      <c r="K3" s="19" t="s">
        <v>8</v>
      </c>
    </row>
    <row r="4" spans="1:11" x14ac:dyDescent="0.35">
      <c r="A4" s="13">
        <v>1</v>
      </c>
      <c r="B4" s="11">
        <v>49.204999999999998</v>
      </c>
      <c r="C4" s="3">
        <f>B4/$B$2*100</f>
        <v>85.648389904264562</v>
      </c>
      <c r="D4" s="2">
        <v>42.171999999999997</v>
      </c>
      <c r="E4" s="3">
        <f t="shared" ref="E4:E33" si="0">D4/$D$2*100</f>
        <v>82.983077528532064</v>
      </c>
      <c r="F4" s="2">
        <v>9.4589999999999996</v>
      </c>
      <c r="G4" s="3">
        <f t="shared" ref="G4:G33" si="1">F4/$F$2*100</f>
        <v>76.839967506092606</v>
      </c>
      <c r="H4" s="2">
        <v>20.56</v>
      </c>
      <c r="I4" s="3">
        <f t="shared" ref="I4:I33" si="2">H4/$H$2*100</f>
        <v>91.908806437192652</v>
      </c>
      <c r="J4" s="2">
        <v>50.962000000000003</v>
      </c>
      <c r="K4" s="4">
        <f t="shared" ref="K4:K33" si="3">J4/$J$2*100</f>
        <v>86.390913714188841</v>
      </c>
    </row>
    <row r="5" spans="1:11" x14ac:dyDescent="0.35">
      <c r="A5" s="13">
        <v>2</v>
      </c>
      <c r="B5" s="11">
        <v>49.204999999999998</v>
      </c>
      <c r="C5" s="3">
        <f t="shared" ref="C5:C34" si="4">B5/$B$2*100</f>
        <v>85.648389904264562</v>
      </c>
      <c r="D5" s="2">
        <v>42.122999999999998</v>
      </c>
      <c r="E5" s="3">
        <f t="shared" si="0"/>
        <v>82.886658795749696</v>
      </c>
      <c r="F5" s="2">
        <v>9.4589999999999996</v>
      </c>
      <c r="G5" s="3">
        <f t="shared" si="1"/>
        <v>76.839967506092606</v>
      </c>
      <c r="H5" s="2">
        <v>20.523</v>
      </c>
      <c r="I5" s="3">
        <f t="shared" si="2"/>
        <v>91.7434063477872</v>
      </c>
      <c r="J5" s="2">
        <v>50.881</v>
      </c>
      <c r="K5" s="4">
        <f t="shared" si="3"/>
        <v>86.253602305475496</v>
      </c>
    </row>
    <row r="6" spans="1:11" x14ac:dyDescent="0.35">
      <c r="A6" s="13">
        <f t="shared" ref="A6:A32" si="5">A5+1</f>
        <v>3</v>
      </c>
      <c r="B6" s="11">
        <v>49.204999999999998</v>
      </c>
      <c r="C6" s="3">
        <f t="shared" si="4"/>
        <v>85.648389904264562</v>
      </c>
      <c r="D6" s="2">
        <v>42.024000000000001</v>
      </c>
      <c r="E6" s="3">
        <f t="shared" si="0"/>
        <v>82.691853600944512</v>
      </c>
      <c r="F6" s="2">
        <v>9.4589999999999996</v>
      </c>
      <c r="G6" s="3">
        <f t="shared" si="1"/>
        <v>76.839967506092606</v>
      </c>
      <c r="H6" s="2">
        <v>20.484999999999999</v>
      </c>
      <c r="I6" s="3">
        <f t="shared" si="2"/>
        <v>91.573535985695116</v>
      </c>
      <c r="J6" s="2">
        <v>50.801000000000002</v>
      </c>
      <c r="K6" s="4">
        <f t="shared" si="3"/>
        <v>86.117986099338879</v>
      </c>
    </row>
    <row r="7" spans="1:11" x14ac:dyDescent="0.35">
      <c r="A7" s="13">
        <f t="shared" si="5"/>
        <v>4</v>
      </c>
      <c r="B7" s="11">
        <v>49.204999999999998</v>
      </c>
      <c r="C7" s="3">
        <f t="shared" si="4"/>
        <v>85.648389904264562</v>
      </c>
      <c r="D7" s="2">
        <v>41.875999999999998</v>
      </c>
      <c r="E7" s="3">
        <f t="shared" si="0"/>
        <v>82.400629673356946</v>
      </c>
      <c r="F7" s="2">
        <v>9.4589999999999996</v>
      </c>
      <c r="G7" s="3">
        <f t="shared" si="1"/>
        <v>76.839967506092606</v>
      </c>
      <c r="H7" s="2">
        <v>20.448</v>
      </c>
      <c r="I7" s="3">
        <f t="shared" si="2"/>
        <v>91.408135896289664</v>
      </c>
      <c r="J7" s="2">
        <v>50.761000000000003</v>
      </c>
      <c r="K7" s="4">
        <f t="shared" si="3"/>
        <v>86.050177996270563</v>
      </c>
    </row>
    <row r="8" spans="1:11" x14ac:dyDescent="0.35">
      <c r="A8" s="13">
        <f t="shared" si="5"/>
        <v>5</v>
      </c>
      <c r="B8" s="11">
        <v>49.204999999999998</v>
      </c>
      <c r="C8" s="3">
        <f t="shared" si="4"/>
        <v>85.648389904264562</v>
      </c>
      <c r="D8" s="2">
        <v>41.777999999999999</v>
      </c>
      <c r="E8" s="3">
        <f t="shared" si="0"/>
        <v>82.20779220779221</v>
      </c>
      <c r="F8" s="2">
        <v>9.4589999999999996</v>
      </c>
      <c r="G8" s="3">
        <f t="shared" si="1"/>
        <v>76.839967506092606</v>
      </c>
      <c r="H8" s="2">
        <v>20.411000000000001</v>
      </c>
      <c r="I8" s="3">
        <f t="shared" si="2"/>
        <v>91.242735806884227</v>
      </c>
      <c r="J8" s="2">
        <v>50.64</v>
      </c>
      <c r="K8" s="4">
        <f t="shared" si="3"/>
        <v>85.845058484488888</v>
      </c>
    </row>
    <row r="9" spans="1:11" x14ac:dyDescent="0.35">
      <c r="A9" s="13">
        <f t="shared" si="5"/>
        <v>6</v>
      </c>
      <c r="B9" s="11">
        <v>49.204999999999998</v>
      </c>
      <c r="C9" s="3">
        <f t="shared" si="4"/>
        <v>85.648389904264562</v>
      </c>
      <c r="D9" s="2">
        <v>41.68</v>
      </c>
      <c r="E9" s="3">
        <f t="shared" si="0"/>
        <v>82.014954742227459</v>
      </c>
      <c r="F9" s="2">
        <v>9.4410000000000007</v>
      </c>
      <c r="G9" s="3">
        <f t="shared" si="1"/>
        <v>76.693744922826966</v>
      </c>
      <c r="H9" s="2">
        <v>20.373999999999999</v>
      </c>
      <c r="I9" s="3">
        <f t="shared" si="2"/>
        <v>91.077335717478761</v>
      </c>
      <c r="J9" s="2">
        <v>50.56</v>
      </c>
      <c r="K9" s="4">
        <f t="shared" si="3"/>
        <v>85.70944227835227</v>
      </c>
    </row>
    <row r="10" spans="1:11" x14ac:dyDescent="0.35">
      <c r="A10" s="13">
        <f t="shared" si="5"/>
        <v>7</v>
      </c>
      <c r="B10" s="11">
        <v>49.228999999999999</v>
      </c>
      <c r="C10" s="3">
        <f t="shared" si="4"/>
        <v>85.690165361183631</v>
      </c>
      <c r="D10" s="2">
        <v>41.582000000000001</v>
      </c>
      <c r="E10" s="3">
        <f t="shared" si="0"/>
        <v>81.822117276662738</v>
      </c>
      <c r="F10" s="2">
        <v>9.4420000000000002</v>
      </c>
      <c r="G10" s="3">
        <f t="shared" si="1"/>
        <v>76.70186839967505</v>
      </c>
      <c r="H10" s="2">
        <v>20.335999999999999</v>
      </c>
      <c r="I10" s="3">
        <f t="shared" si="2"/>
        <v>90.907465355386663</v>
      </c>
      <c r="J10" s="2">
        <v>50.52</v>
      </c>
      <c r="K10" s="4">
        <f t="shared" si="3"/>
        <v>85.641634175283954</v>
      </c>
    </row>
    <row r="11" spans="1:11" x14ac:dyDescent="0.35">
      <c r="A11" s="13">
        <f t="shared" si="5"/>
        <v>8</v>
      </c>
      <c r="B11" s="11">
        <v>49.228999999999999</v>
      </c>
      <c r="C11" s="3">
        <f t="shared" si="4"/>
        <v>85.690165361183631</v>
      </c>
      <c r="D11" s="2">
        <v>41.484000000000002</v>
      </c>
      <c r="E11" s="3">
        <f t="shared" si="0"/>
        <v>81.629279811098002</v>
      </c>
      <c r="F11" s="2">
        <v>9.423</v>
      </c>
      <c r="G11" s="3">
        <f t="shared" si="1"/>
        <v>76.547522339561326</v>
      </c>
      <c r="H11" s="2">
        <v>20.298999999999999</v>
      </c>
      <c r="I11" s="3">
        <f t="shared" si="2"/>
        <v>90.742065265981225</v>
      </c>
      <c r="J11" s="2">
        <v>50.44</v>
      </c>
      <c r="K11" s="4">
        <f t="shared" si="3"/>
        <v>85.506017969147308</v>
      </c>
    </row>
    <row r="12" spans="1:11" x14ac:dyDescent="0.35">
      <c r="A12" s="13">
        <f t="shared" si="5"/>
        <v>9</v>
      </c>
      <c r="B12" s="11">
        <v>49.228999999999999</v>
      </c>
      <c r="C12" s="3">
        <f t="shared" si="4"/>
        <v>85.690165361183631</v>
      </c>
      <c r="D12" s="2">
        <v>41.386000000000003</v>
      </c>
      <c r="E12" s="3">
        <f t="shared" si="0"/>
        <v>81.436442345533251</v>
      </c>
      <c r="F12" s="2">
        <v>9.4049999999999994</v>
      </c>
      <c r="G12" s="3">
        <f t="shared" si="1"/>
        <v>76.401299756295685</v>
      </c>
      <c r="H12" s="2">
        <v>20.262</v>
      </c>
      <c r="I12" s="3">
        <f t="shared" si="2"/>
        <v>90.576665176575773</v>
      </c>
      <c r="J12" s="2">
        <v>50.36</v>
      </c>
      <c r="K12" s="4">
        <f t="shared" si="3"/>
        <v>85.370401763010676</v>
      </c>
    </row>
    <row r="13" spans="1:11" x14ac:dyDescent="0.35">
      <c r="A13" s="13">
        <f t="shared" si="5"/>
        <v>10</v>
      </c>
      <c r="B13" s="11">
        <v>49.228999999999999</v>
      </c>
      <c r="C13" s="3">
        <f t="shared" si="4"/>
        <v>85.690165361183631</v>
      </c>
      <c r="D13" s="2">
        <v>41.337000000000003</v>
      </c>
      <c r="E13" s="3">
        <f t="shared" si="0"/>
        <v>81.340023612750883</v>
      </c>
      <c r="F13" s="2">
        <v>9.3870000000000005</v>
      </c>
      <c r="G13" s="3">
        <f t="shared" si="1"/>
        <v>76.25507717303006</v>
      </c>
      <c r="H13" s="2">
        <v>20.238</v>
      </c>
      <c r="I13" s="3">
        <f t="shared" si="2"/>
        <v>90.46937863209655</v>
      </c>
      <c r="J13" s="2">
        <v>50.241</v>
      </c>
      <c r="K13" s="4">
        <f t="shared" si="3"/>
        <v>85.168672656382441</v>
      </c>
    </row>
    <row r="14" spans="1:11" x14ac:dyDescent="0.35">
      <c r="A14" s="13">
        <f t="shared" si="5"/>
        <v>11</v>
      </c>
      <c r="B14" s="11">
        <v>49.253</v>
      </c>
      <c r="C14" s="3">
        <f t="shared" si="4"/>
        <v>85.731940818102686</v>
      </c>
      <c r="D14" s="2">
        <v>41.238999999999997</v>
      </c>
      <c r="E14" s="3">
        <f t="shared" si="0"/>
        <v>81.147186147186147</v>
      </c>
      <c r="F14" s="2">
        <v>9.3689999999999998</v>
      </c>
      <c r="G14" s="3">
        <f t="shared" si="1"/>
        <v>76.10885458976442</v>
      </c>
      <c r="H14" s="2">
        <v>20.225000000000001</v>
      </c>
      <c r="I14" s="3">
        <f t="shared" si="2"/>
        <v>90.411265087170321</v>
      </c>
      <c r="J14" s="2">
        <v>50.201000000000001</v>
      </c>
      <c r="K14" s="4">
        <f t="shared" si="3"/>
        <v>85.100864553314111</v>
      </c>
    </row>
    <row r="15" spans="1:11" x14ac:dyDescent="0.35">
      <c r="A15" s="13">
        <f t="shared" si="5"/>
        <v>12</v>
      </c>
      <c r="B15" s="11">
        <v>49.253</v>
      </c>
      <c r="C15" s="3">
        <f t="shared" si="4"/>
        <v>85.731940818102686</v>
      </c>
      <c r="D15" s="2">
        <v>40.996000000000002</v>
      </c>
      <c r="E15" s="3">
        <f t="shared" si="0"/>
        <v>80.669027941755218</v>
      </c>
      <c r="F15" s="2">
        <v>9.3520000000000003</v>
      </c>
      <c r="G15" s="3">
        <f t="shared" si="1"/>
        <v>75.970755483346878</v>
      </c>
      <c r="H15" s="2">
        <v>20.225000000000001</v>
      </c>
      <c r="I15" s="3">
        <f t="shared" si="2"/>
        <v>90.411265087170321</v>
      </c>
      <c r="J15" s="2">
        <v>50.121000000000002</v>
      </c>
      <c r="K15" s="4">
        <f t="shared" si="3"/>
        <v>84.965248347177493</v>
      </c>
    </row>
    <row r="16" spans="1:11" x14ac:dyDescent="0.35">
      <c r="A16" s="13">
        <f t="shared" si="5"/>
        <v>13</v>
      </c>
      <c r="B16" s="11">
        <v>49.253</v>
      </c>
      <c r="C16" s="3">
        <f t="shared" si="4"/>
        <v>85.731940818102686</v>
      </c>
      <c r="D16" s="2">
        <v>40.607999999999997</v>
      </c>
      <c r="E16" s="3">
        <f t="shared" si="0"/>
        <v>79.90554899645808</v>
      </c>
      <c r="F16" s="2">
        <v>9.3339999999999996</v>
      </c>
      <c r="G16" s="3">
        <f t="shared" si="1"/>
        <v>75.824532900081238</v>
      </c>
      <c r="H16" s="2">
        <v>20.225000000000001</v>
      </c>
      <c r="I16" s="3">
        <f t="shared" si="2"/>
        <v>90.411265087170321</v>
      </c>
      <c r="J16" s="2">
        <v>50.040999999999997</v>
      </c>
      <c r="K16" s="4">
        <f t="shared" si="3"/>
        <v>84.829632141040847</v>
      </c>
    </row>
    <row r="17" spans="1:11" x14ac:dyDescent="0.35">
      <c r="A17" s="13">
        <f t="shared" si="5"/>
        <v>14</v>
      </c>
      <c r="B17" s="11">
        <v>49.277000000000001</v>
      </c>
      <c r="C17" s="3">
        <f t="shared" si="4"/>
        <v>85.773716275021755</v>
      </c>
      <c r="D17" s="2">
        <v>40.048000000000002</v>
      </c>
      <c r="E17" s="3">
        <f t="shared" si="0"/>
        <v>78.803620621802438</v>
      </c>
      <c r="F17" s="2">
        <v>9.3160000000000007</v>
      </c>
      <c r="G17" s="3">
        <f t="shared" si="1"/>
        <v>75.678310316815598</v>
      </c>
      <c r="H17" s="2">
        <v>20.213000000000001</v>
      </c>
      <c r="I17" s="3">
        <f t="shared" si="2"/>
        <v>90.35762181493071</v>
      </c>
      <c r="J17" s="2">
        <v>50.002000000000002</v>
      </c>
      <c r="K17" s="4">
        <f t="shared" si="3"/>
        <v>84.763519240549243</v>
      </c>
    </row>
    <row r="18" spans="1:11" x14ac:dyDescent="0.35">
      <c r="A18" s="13">
        <f t="shared" si="5"/>
        <v>15</v>
      </c>
      <c r="B18" s="11">
        <v>49.277000000000001</v>
      </c>
      <c r="C18" s="3">
        <f t="shared" si="4"/>
        <v>85.773716275021755</v>
      </c>
      <c r="D18" s="2">
        <v>39.598999999999997</v>
      </c>
      <c r="E18" s="3">
        <f t="shared" si="0"/>
        <v>77.920110192837456</v>
      </c>
      <c r="F18" s="2">
        <v>9.298</v>
      </c>
      <c r="G18" s="3">
        <f t="shared" si="1"/>
        <v>75.532087733549957</v>
      </c>
      <c r="H18" s="2">
        <v>20.189</v>
      </c>
      <c r="I18" s="3">
        <f t="shared" si="2"/>
        <v>90.250335270451501</v>
      </c>
      <c r="J18" s="2">
        <v>49.921999999999997</v>
      </c>
      <c r="K18" s="4">
        <f t="shared" si="3"/>
        <v>84.627903034412597</v>
      </c>
    </row>
    <row r="19" spans="1:11" x14ac:dyDescent="0.35">
      <c r="A19" s="13">
        <f t="shared" si="5"/>
        <v>16</v>
      </c>
      <c r="B19" s="11">
        <v>49.304000000000002</v>
      </c>
      <c r="C19" s="3">
        <f t="shared" si="4"/>
        <v>85.820713664055702</v>
      </c>
      <c r="D19" s="2">
        <v>39.218000000000004</v>
      </c>
      <c r="E19" s="3">
        <f t="shared" si="0"/>
        <v>77.17040535222354</v>
      </c>
      <c r="F19" s="2">
        <v>9.2810000000000006</v>
      </c>
      <c r="G19" s="3">
        <f t="shared" si="1"/>
        <v>75.393988627132416</v>
      </c>
      <c r="H19" s="2">
        <v>20.164000000000001</v>
      </c>
      <c r="I19" s="3">
        <f t="shared" si="2"/>
        <v>90.13857845328566</v>
      </c>
      <c r="J19" s="2">
        <v>49.843000000000004</v>
      </c>
      <c r="K19" s="4">
        <f t="shared" si="3"/>
        <v>84.493982030852692</v>
      </c>
    </row>
    <row r="20" spans="1:11" x14ac:dyDescent="0.35">
      <c r="A20" s="13">
        <f t="shared" si="5"/>
        <v>17</v>
      </c>
      <c r="B20" s="11">
        <v>49.347999999999999</v>
      </c>
      <c r="C20" s="3">
        <f t="shared" si="4"/>
        <v>85.897302001740641</v>
      </c>
      <c r="D20" s="2">
        <v>38.746000000000002</v>
      </c>
      <c r="E20" s="3">
        <f t="shared" si="0"/>
        <v>76.241637150728053</v>
      </c>
      <c r="F20" s="2">
        <v>9.2720000000000002</v>
      </c>
      <c r="G20" s="3">
        <f t="shared" si="1"/>
        <v>75.320877335499588</v>
      </c>
      <c r="H20" s="2">
        <v>20.138999999999999</v>
      </c>
      <c r="I20" s="3">
        <f t="shared" si="2"/>
        <v>90.026821636119791</v>
      </c>
      <c r="J20" s="2">
        <v>49.764000000000003</v>
      </c>
      <c r="K20" s="4">
        <f t="shared" si="3"/>
        <v>84.360061027292772</v>
      </c>
    </row>
    <row r="21" spans="1:11" x14ac:dyDescent="0.35">
      <c r="A21" s="13">
        <f t="shared" si="5"/>
        <v>18</v>
      </c>
      <c r="B21" s="11">
        <v>49.372</v>
      </c>
      <c r="C21" s="3">
        <f t="shared" si="4"/>
        <v>85.939077458659696</v>
      </c>
      <c r="D21" s="2">
        <v>38.276000000000003</v>
      </c>
      <c r="E21" s="3">
        <f t="shared" si="0"/>
        <v>75.316804407713505</v>
      </c>
      <c r="F21" s="2">
        <v>9.2520000000000007</v>
      </c>
      <c r="G21" s="3">
        <f t="shared" si="1"/>
        <v>75.15840779853778</v>
      </c>
      <c r="H21" s="2">
        <v>20.065999999999999</v>
      </c>
      <c r="I21" s="3">
        <f t="shared" si="2"/>
        <v>89.70049172999552</v>
      </c>
      <c r="J21" s="2">
        <v>49.723999999999997</v>
      </c>
      <c r="K21" s="4">
        <f t="shared" si="3"/>
        <v>84.292252924224428</v>
      </c>
    </row>
    <row r="22" spans="1:11" x14ac:dyDescent="0.35">
      <c r="A22" s="13">
        <f t="shared" si="5"/>
        <v>19</v>
      </c>
      <c r="B22" s="11">
        <v>49.396000000000001</v>
      </c>
      <c r="C22" s="3">
        <f t="shared" si="4"/>
        <v>85.980852915578765</v>
      </c>
      <c r="D22" s="2">
        <v>37.856999999999999</v>
      </c>
      <c r="E22" s="3">
        <f t="shared" si="0"/>
        <v>74.492325855962221</v>
      </c>
      <c r="F22" s="2">
        <v>9.2370000000000001</v>
      </c>
      <c r="G22" s="3">
        <f t="shared" si="1"/>
        <v>75.036555645816406</v>
      </c>
      <c r="H22" s="2">
        <v>19.992999999999999</v>
      </c>
      <c r="I22" s="3">
        <f t="shared" si="2"/>
        <v>89.374161823871248</v>
      </c>
      <c r="J22" s="2">
        <v>49.645000000000003</v>
      </c>
      <c r="K22" s="4">
        <f t="shared" si="3"/>
        <v>84.158331920664523</v>
      </c>
    </row>
    <row r="23" spans="1:11" x14ac:dyDescent="0.35">
      <c r="A23" s="13">
        <f t="shared" si="5"/>
        <v>20</v>
      </c>
      <c r="B23" s="11">
        <v>49.396000000000001</v>
      </c>
      <c r="C23" s="3">
        <f t="shared" si="4"/>
        <v>85.980852915578765</v>
      </c>
      <c r="D23" s="2">
        <v>37.531999999999996</v>
      </c>
      <c r="E23" s="3">
        <f t="shared" si="0"/>
        <v>73.852813852813853</v>
      </c>
      <c r="F23" s="2">
        <v>9.2189999999999994</v>
      </c>
      <c r="G23" s="3">
        <f t="shared" si="1"/>
        <v>74.890333062550766</v>
      </c>
      <c r="H23" s="2">
        <v>19.920000000000002</v>
      </c>
      <c r="I23" s="3">
        <f t="shared" si="2"/>
        <v>89.04783191774699</v>
      </c>
      <c r="J23" s="2">
        <v>49.566000000000003</v>
      </c>
      <c r="K23" s="4">
        <f t="shared" si="3"/>
        <v>84.024410917104603</v>
      </c>
    </row>
    <row r="24" spans="1:11" x14ac:dyDescent="0.35">
      <c r="A24" s="13">
        <f t="shared" si="5"/>
        <v>21</v>
      </c>
      <c r="B24" s="11">
        <v>49.396000000000001</v>
      </c>
      <c r="C24" s="3">
        <f t="shared" si="4"/>
        <v>85.980852915578765</v>
      </c>
      <c r="D24" s="2">
        <v>37.162999999999997</v>
      </c>
      <c r="E24" s="3">
        <f t="shared" si="0"/>
        <v>73.126721763085385</v>
      </c>
      <c r="F24" s="2">
        <v>9.2010000000000005</v>
      </c>
      <c r="G24" s="3">
        <f t="shared" si="1"/>
        <v>74.744110479285126</v>
      </c>
      <c r="H24" s="2">
        <v>19.847000000000001</v>
      </c>
      <c r="I24" s="3">
        <f t="shared" si="2"/>
        <v>88.721502011622704</v>
      </c>
      <c r="J24" s="2">
        <v>49.487000000000002</v>
      </c>
      <c r="K24" s="4">
        <f t="shared" si="3"/>
        <v>83.89048991354467</v>
      </c>
    </row>
    <row r="25" spans="1:11" x14ac:dyDescent="0.35">
      <c r="A25" s="13">
        <f t="shared" si="5"/>
        <v>22</v>
      </c>
      <c r="B25" s="11">
        <v>49.396000000000001</v>
      </c>
      <c r="C25" s="3">
        <f t="shared" si="4"/>
        <v>85.980852915578765</v>
      </c>
      <c r="D25" s="2">
        <v>36.704999999999998</v>
      </c>
      <c r="E25" s="3">
        <f t="shared" si="0"/>
        <v>72.225501770956313</v>
      </c>
      <c r="F25" s="2">
        <v>9.1839999999999993</v>
      </c>
      <c r="G25" s="3">
        <f t="shared" si="1"/>
        <v>74.60601137286757</v>
      </c>
      <c r="H25" s="2">
        <v>19.763000000000002</v>
      </c>
      <c r="I25" s="3">
        <f t="shared" si="2"/>
        <v>88.345999105945467</v>
      </c>
      <c r="J25" s="2">
        <v>49.408000000000001</v>
      </c>
      <c r="K25" s="4">
        <f t="shared" si="3"/>
        <v>83.756568909984736</v>
      </c>
    </row>
    <row r="26" spans="1:11" x14ac:dyDescent="0.35">
      <c r="A26" s="13">
        <f t="shared" si="5"/>
        <v>23</v>
      </c>
      <c r="B26" s="11">
        <v>49.396000000000001</v>
      </c>
      <c r="C26" s="3">
        <f t="shared" si="4"/>
        <v>85.980852915578765</v>
      </c>
      <c r="D26" s="2">
        <v>36.340000000000003</v>
      </c>
      <c r="E26" s="3">
        <f t="shared" si="0"/>
        <v>71.507280598189695</v>
      </c>
      <c r="F26" s="2">
        <v>9.1660000000000004</v>
      </c>
      <c r="G26" s="3">
        <f t="shared" si="1"/>
        <v>74.459788789601959</v>
      </c>
      <c r="H26" s="2">
        <v>19.678000000000001</v>
      </c>
      <c r="I26" s="3">
        <f t="shared" si="2"/>
        <v>87.966025927581583</v>
      </c>
      <c r="J26" s="2">
        <v>49.329000000000001</v>
      </c>
      <c r="K26" s="4">
        <f t="shared" si="3"/>
        <v>83.622647906424817</v>
      </c>
    </row>
    <row r="27" spans="1:11" x14ac:dyDescent="0.35">
      <c r="A27" s="13">
        <f t="shared" si="5"/>
        <v>24</v>
      </c>
      <c r="B27" s="11">
        <v>49.42</v>
      </c>
      <c r="C27" s="3">
        <f t="shared" si="4"/>
        <v>86.02262837249782</v>
      </c>
      <c r="D27" s="2">
        <v>35.887999999999998</v>
      </c>
      <c r="E27" s="3">
        <f t="shared" si="0"/>
        <v>70.61786698150334</v>
      </c>
      <c r="F27" s="2">
        <v>9.1489999999999991</v>
      </c>
      <c r="G27" s="3">
        <f t="shared" si="1"/>
        <v>74.321689683184388</v>
      </c>
      <c r="H27" s="2">
        <v>19.594000000000001</v>
      </c>
      <c r="I27" s="3">
        <f t="shared" si="2"/>
        <v>87.590523021904346</v>
      </c>
      <c r="J27" s="2">
        <v>49.29</v>
      </c>
      <c r="K27" s="4">
        <f t="shared" si="3"/>
        <v>83.556535005933213</v>
      </c>
    </row>
    <row r="28" spans="1:11" x14ac:dyDescent="0.35">
      <c r="A28" s="13">
        <f t="shared" si="5"/>
        <v>25</v>
      </c>
      <c r="B28" s="11">
        <v>49.42</v>
      </c>
      <c r="C28" s="3">
        <f t="shared" si="4"/>
        <v>86.02262837249782</v>
      </c>
      <c r="D28" s="2">
        <v>35.482999999999997</v>
      </c>
      <c r="E28" s="3">
        <f t="shared" si="0"/>
        <v>69.820936639118443</v>
      </c>
      <c r="F28" s="2">
        <v>9.1310000000000002</v>
      </c>
      <c r="G28" s="3">
        <f t="shared" si="1"/>
        <v>74.175467099918762</v>
      </c>
      <c r="H28" s="2">
        <v>19.510000000000002</v>
      </c>
      <c r="I28" s="3">
        <f t="shared" si="2"/>
        <v>87.215020116227095</v>
      </c>
      <c r="J28" s="2">
        <v>49.25</v>
      </c>
      <c r="K28" s="4">
        <f t="shared" si="3"/>
        <v>83.488726902864883</v>
      </c>
    </row>
    <row r="29" spans="1:11" x14ac:dyDescent="0.35">
      <c r="A29" s="13">
        <f t="shared" si="5"/>
        <v>26</v>
      </c>
      <c r="B29" s="11">
        <v>49.42</v>
      </c>
      <c r="C29" s="3">
        <f t="shared" si="4"/>
        <v>86.02262837249782</v>
      </c>
      <c r="D29" s="2">
        <v>35.393000000000001</v>
      </c>
      <c r="E29" s="3">
        <f t="shared" si="0"/>
        <v>69.643841007477363</v>
      </c>
      <c r="F29" s="2">
        <v>9.1150000000000002</v>
      </c>
      <c r="G29" s="3">
        <f t="shared" si="1"/>
        <v>74.045491470349305</v>
      </c>
      <c r="H29" s="2">
        <v>19.425999999999998</v>
      </c>
      <c r="I29" s="3">
        <f t="shared" si="2"/>
        <v>86.839517210549829</v>
      </c>
      <c r="J29" s="2">
        <v>49.171999999999997</v>
      </c>
      <c r="K29" s="4">
        <f t="shared" si="3"/>
        <v>83.356501101881662</v>
      </c>
    </row>
    <row r="30" spans="1:11" x14ac:dyDescent="0.35">
      <c r="A30" s="13">
        <f t="shared" si="5"/>
        <v>27</v>
      </c>
      <c r="B30" s="11">
        <v>49.42</v>
      </c>
      <c r="C30" s="3">
        <f t="shared" si="4"/>
        <v>86.02262837249782</v>
      </c>
      <c r="D30" s="2">
        <v>35.348999999999997</v>
      </c>
      <c r="E30" s="3">
        <f t="shared" si="0"/>
        <v>69.557260920897278</v>
      </c>
      <c r="F30" s="2">
        <v>9.0960000000000001</v>
      </c>
      <c r="G30" s="3">
        <f t="shared" si="1"/>
        <v>73.89114541023558</v>
      </c>
      <c r="H30" s="2">
        <v>19.343</v>
      </c>
      <c r="I30" s="3">
        <f t="shared" si="2"/>
        <v>86.468484577559224</v>
      </c>
      <c r="J30" s="2">
        <v>49.093000000000004</v>
      </c>
      <c r="K30" s="4">
        <f t="shared" si="3"/>
        <v>83.222580098321757</v>
      </c>
    </row>
    <row r="31" spans="1:11" x14ac:dyDescent="0.35">
      <c r="A31" s="13">
        <v>28</v>
      </c>
      <c r="B31" s="11">
        <v>49.42</v>
      </c>
      <c r="C31" s="3">
        <f t="shared" si="4"/>
        <v>86.02262837249782</v>
      </c>
      <c r="D31" s="2">
        <v>35.259</v>
      </c>
      <c r="E31" s="3">
        <f t="shared" si="0"/>
        <v>69.380165289256198</v>
      </c>
      <c r="F31" s="2">
        <v>9.0779999999999994</v>
      </c>
      <c r="G31" s="3">
        <f t="shared" si="1"/>
        <v>73.74492282696994</v>
      </c>
      <c r="H31" s="2">
        <v>19.28</v>
      </c>
      <c r="I31" s="3">
        <f t="shared" si="2"/>
        <v>86.186857398301299</v>
      </c>
      <c r="J31" s="2">
        <v>49.054000000000002</v>
      </c>
      <c r="K31" s="4">
        <f t="shared" si="3"/>
        <v>83.156467197830139</v>
      </c>
    </row>
    <row r="32" spans="1:11" x14ac:dyDescent="0.35">
      <c r="A32" s="13">
        <f t="shared" si="5"/>
        <v>29</v>
      </c>
      <c r="B32" s="11">
        <v>49.42</v>
      </c>
      <c r="C32" s="3">
        <f t="shared" si="4"/>
        <v>86.02262837249782</v>
      </c>
      <c r="D32" s="2">
        <v>35.125</v>
      </c>
      <c r="E32" s="3">
        <f t="shared" si="0"/>
        <v>69.116489571035018</v>
      </c>
      <c r="F32" s="2">
        <v>9.0619999999999994</v>
      </c>
      <c r="G32" s="3">
        <f t="shared" si="1"/>
        <v>73.614947197400483</v>
      </c>
      <c r="H32" s="2">
        <v>19.178000000000001</v>
      </c>
      <c r="I32" s="3">
        <f t="shared" si="2"/>
        <v>85.730889584264631</v>
      </c>
      <c r="J32" s="2">
        <v>48.975999999999999</v>
      </c>
      <c r="K32" s="4">
        <f t="shared" si="3"/>
        <v>83.024241396846918</v>
      </c>
    </row>
    <row r="33" spans="1:11" x14ac:dyDescent="0.35">
      <c r="A33" s="13">
        <v>30</v>
      </c>
      <c r="B33" s="11">
        <v>49.42</v>
      </c>
      <c r="C33" s="3">
        <f t="shared" si="4"/>
        <v>86.02262837249782</v>
      </c>
      <c r="D33" s="2">
        <v>34.947000000000003</v>
      </c>
      <c r="E33" s="3">
        <f t="shared" si="0"/>
        <v>68.766233766233782</v>
      </c>
      <c r="F33" s="2">
        <v>9.0459999999999994</v>
      </c>
      <c r="G33" s="3">
        <f t="shared" si="1"/>
        <v>73.484971567831025</v>
      </c>
      <c r="H33" s="2">
        <v>19.131</v>
      </c>
      <c r="I33" s="3">
        <f t="shared" si="2"/>
        <v>85.520786767992846</v>
      </c>
      <c r="J33" s="2">
        <v>48.898000000000003</v>
      </c>
      <c r="K33" s="4">
        <f t="shared" si="3"/>
        <v>82.892015595863711</v>
      </c>
    </row>
    <row r="34" spans="1:11" s="9" customFormat="1" ht="15" thickBot="1" x14ac:dyDescent="0.4">
      <c r="A34" s="14">
        <v>31</v>
      </c>
      <c r="B34" s="12">
        <v>49.444000000000003</v>
      </c>
      <c r="C34" s="6">
        <f t="shared" si="4"/>
        <v>86.064403829416875</v>
      </c>
      <c r="D34" s="5">
        <v>34.857999999999997</v>
      </c>
      <c r="E34" s="7">
        <f>D34/$D$2*100</f>
        <v>68.591105863833135</v>
      </c>
      <c r="F34" s="5">
        <v>9.0259999999999998</v>
      </c>
      <c r="G34" s="7">
        <f>F34/$F$2*100</f>
        <v>73.322502030869202</v>
      </c>
      <c r="H34" s="5">
        <v>19.108000000000001</v>
      </c>
      <c r="I34" s="7">
        <f>H34/$H$2*100</f>
        <v>85.417970496200269</v>
      </c>
      <c r="J34" s="5">
        <v>48.857999999999997</v>
      </c>
      <c r="K34" s="8">
        <f>J34/$J$2*100</f>
        <v>82.824207492795381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Août_2026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Fatiha CHOUKRI</dc:creator>
  <cp:lastModifiedBy>Rajia LAAOUJ</cp:lastModifiedBy>
  <dcterms:created xsi:type="dcterms:W3CDTF">2026-09-02T14:22:51Z</dcterms:created>
  <dcterms:modified xsi:type="dcterms:W3CDTF">2026-10-02T11:17:37Z</dcterms:modified>
</cp:coreProperties>
</file>